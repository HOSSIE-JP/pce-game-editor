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00_Summary" sheetId="1" r:id="rId1"/>
    <sheet name="01_HW" sheetId="2" r:id="rId2"/>
    <sheet name="02_VRAM_Budget" sheetId="3" r:id="rId3"/>
    <sheet name="03_Screen_Layout" sheetId="4" r:id="rId4"/>
    <sheet name="04_Sprites" sheetId="5" r:id="rId5"/>
    <sheet name="05_RAM_CD" sheetId="6" r:id="rId6"/>
    <sheet name="06_Scene_Model" sheetId="7" r:id="rId7"/>
    <sheet name="07_Current_Sample" sheetId="8" r:id="rId8"/>
    <sheet name="08_Checklist" sheetId="9" r:id="rId9"/>
    <sheet name="09_Sources" sheetId="10" r:id="rId10"/>
  </sheets>
  <calcPr calcMode="auto"/>
</workbook>
</file>

<file path=xl/styles.xml><?xml version="1.0" encoding="utf-8"?>
<styleSheet xmlns="http://schemas.openxmlformats.org/spreadsheetml/2006/main">
  <fonts count="5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0"/>
      <color rgb="FF1F2937"/>
      <name val="Aptos"/>
    </font>
    <font>
      <sz val="10"/>
      <color rgb="FF374151"/>
      <name val="Aptos"/>
    </font>
  </fonts>
  <fills count="9">
    <fill>
      <patternFill patternType="none"/>
    </fill>
    <fill>
      <patternFill patternType="gray125"/>
    </fill>
    <fill>
      <patternFill patternType="solid">
        <fgColor rgb="FF143C3C"/>
        <bgColor indexed="64"/>
      </patternFill>
    </fill>
    <fill>
      <patternFill patternType="solid">
        <fgColor rgb="FF1F6F78"/>
        <bgColor indexed="64"/>
      </patternFill>
    </fill>
    <fill>
      <patternFill patternType="solid">
        <fgColor rgb="FFEAF7F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4DE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 vertical="center"/>
    </xf>
    <xf numFmtId="0" fontId="3" fillId="4" borderId="1" xfId="0" applyFont="1" applyFill="1" applyBorder="1" applyAlignment="1">
      <alignment wrapText="1" vertical="top"/>
    </xf>
    <xf numFmtId="0" fontId="4" fillId="0" borderId="1" xfId="0" applyBorder="1" applyAlignment="1">
      <alignment wrapText="1" vertical="top"/>
    </xf>
    <xf numFmtId="0" fontId="4" fillId="5" borderId="1" xfId="0" applyFill="1" applyBorder="1" applyAlignment="1">
      <alignment wrapText="1" vertical="top"/>
    </xf>
    <xf numFmtId="0" fontId="4" fillId="6" borderId="1" xfId="0" applyFill="1" applyBorder="1" applyAlignment="1">
      <alignment wrapText="1" vertical="top"/>
    </xf>
    <xf numFmtId="0" fontId="4" fillId="7" borderId="1" xfId="0" applyFill="1" applyBorder="1" applyAlignment="1">
      <alignment wrapText="1" vertical="top"/>
    </xf>
    <xf numFmtId="0" fontId="4" fillId="8" borderId="1" xfId="0" applyFill="1" applyBorder="1" applyAlignment="1">
      <alignment wrapText="1" vertical="top"/>
    </xf>
    <xf numFmtId="0" fontId="3" fillId="5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" customWidth="1"/>
    <col min="2" max="2" width="34" customWidth="1"/>
    <col min="3" max="3" width="78" customWidth="1"/>
  </cols>
  <sheetData>
    <row r="1" ht="24" customHeight="1">
      <c r="A1" t="inlineStr" s="1">
        <is>
          <t>PCE / SUPER CD-ROM2 メモリ・画面レイアウト設計</t>
        </is>
      </c>
    </row>
    <row r="2">
      <c r="A2" t="inlineStr" s="8">
        <is>
          <t>目的</t>
        </is>
      </c>
      <c r="B2" t="inlineStr" s="8">
        <is>
          <t>背景画像・立ち絵スプライト・メッセージ・UIを、PCE実機制約の中で破綻しないように見積もるための設計台帳です。</t>
        </is>
      </c>
    </row>
    <row r="3">
      <c r="A3" t="inlineStr" s="2">
        <is>
          <t>結論</t>
        </is>
      </c>
      <c r="B3" t="inlineStr" s="2">
        <is>
          <t>推奨値</t>
        </is>
      </c>
      <c r="C3" t="inlineStr" s="2">
        <is>
          <t>理由</t>
        </is>
      </c>
    </row>
    <row r="4">
      <c r="A4" t="inlineStr" s="4">
        <is>
          <t>初期ターゲット解像度</t>
        </is>
      </c>
      <c r="B4" t="inlineStr" s="4">
        <is>
          <t>320x224 / 40x28 screen / 64x32 BAT</t>
        </is>
      </c>
      <c r="C4" t="inlineStr" s="4">
        <is>
          <t>320px幅では32x32 BATが足りないため、64x32 BATを前提にする。</t>
        </is>
      </c>
    </row>
    <row r="5">
      <c r="A5" t="inlineStr" s="5">
        <is>
          <t>背景表示領域</t>
        </is>
      </c>
      <c r="B5" t="inlineStr" s="5">
        <is>
          <t>288x128 (x16,y16 / 36x16)</t>
        </is>
      </c>
      <c r="C5" t="inlineStr" s="5">
        <is>
          <t>背景が完全ユニークでも576 BG tiles = 18 KiBで管理できる。</t>
        </is>
      </c>
    </row>
    <row r="6">
      <c r="A6" t="inlineStr" s="6">
        <is>
          <t>背景ユニークタイル目標</t>
        </is>
      </c>
      <c r="B6" t="inlineStr" s="6">
        <is>
          <t>&lt;=576 tiles / scene</t>
        </is>
      </c>
      <c r="C6" t="inlineStr" s="6">
        <is>
          <t>写真風背景はタイル重複が少ない。256x160以上に広げる場合はVRAM表で再計算する。</t>
        </is>
      </c>
    </row>
    <row r="7">
      <c r="A7" t="inlineStr" s="5">
        <is>
          <t>立ち絵スプライト</t>
        </is>
      </c>
      <c r="B7" t="inlineStr" s="5">
        <is>
          <t>同時2体までを初期上限</t>
        </is>
      </c>
      <c r="C7" t="inlineStr" s="5">
        <is>
          <t>96x160の立ち絵2体で120 sprite patterns = 15 KiB、横方向も6 objects/scanlineで安全圏。</t>
        </is>
      </c>
    </row>
    <row r="8">
      <c r="A8" t="inlineStr" s="6">
        <is>
          <t>文字表示</t>
        </is>
      </c>
      <c r="B8" t="inlineStr" s="6">
        <is>
          <t>16x16 glyph / 18文字 x 4行</t>
        </is>
      </c>
      <c r="C8" t="inlineStr" s="6">
        <is>
          <t>日本語全文字セットを常駐させない。ページ単位でglyphを動的ロードする。</t>
        </is>
      </c>
    </row>
    <row r="9">
      <c r="A9" t="inlineStr" s="6">
        <is>
          <t>Super CD RAM運用</t>
        </is>
      </c>
      <c r="B9" t="inlineStr" s="6">
        <is>
          <t>256 KiBを全部使い切らず、実効160-192 KiBで設計</t>
        </is>
      </c>
      <c r="C9" t="inlineStr" s="6">
        <is>
          <t>BIOS/driver/バッファ/ランタイム差分を吸収するため。正確なメモリマップ検証までは保守的に扱う。</t>
        </is>
      </c>
    </row>
    <row r="10">
      <c r="A10" t="inlineStr" s="5">
        <is>
          <t>音声</t>
        </is>
      </c>
      <c r="B10" t="inlineStr" s="5">
        <is>
          <t>BGMはCD-DA、短い声はADPCM RAM</t>
        </is>
      </c>
      <c r="C10" t="inlineStr" s="5">
        <is>
          <t>CD-DAはRAM常駐不要。ADPCMは64 KiB想定で8kHz 4bitなら約16秒が上限目安。</t>
        </is>
      </c>
    </row>
    <row r="11">
      <c r="A11" t="inlineStr" s="7">
        <is>
          <t>エディターに必要な次の機能</t>
        </is>
      </c>
      <c r="B11" t="inlineStr" s="7">
        <is>
          <t>VRAM/RAM見積もり・scanline sprite見積もり・palette/tile警告</t>
        </is>
      </c>
      <c r="C11" t="inlineStr" s="7">
        <is>
          <t>サンプル作成時に警告を出せないと、実機で動かないデータを作れてしまう。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20" customWidth="1"/>
    <col min="3" max="3" width="42" customWidth="1"/>
    <col min="4" max="4" width="44" customWidth="1"/>
    <col min="5" max="5" width="34" customWidth="1"/>
  </cols>
  <sheetData>
    <row r="1" ht="24" customHeight="1">
      <c r="A1" t="inlineStr" s="1">
        <is>
          <t>Hardware Constraints</t>
        </is>
      </c>
    </row>
    <row r="2">
      <c r="A2" t="inlineStr" s="8">
        <is>
          <t>注</t>
        </is>
      </c>
      <c r="B2" t="inlineStr" s="8">
        <is>
          <t>SUPER CD-ROM2のRAMは実装/BIOS/ツールチェーンの使い方で実効可用量が変わるため、この台帳では安全側の設計値を置いています。</t>
        </is>
      </c>
    </row>
    <row r="3">
      <c r="A3" t="inlineStr" s="2">
        <is>
          <t>領域/機能</t>
        </is>
      </c>
      <c r="B3" t="inlineStr" s="2">
        <is>
          <t>公称/上限</t>
        </is>
      </c>
      <c r="C3" t="inlineStr" s="2">
        <is>
          <t>設計上の扱い</t>
        </is>
      </c>
      <c r="D3" t="inlineStr" s="2">
        <is>
          <t>VN向けの制約</t>
        </is>
      </c>
      <c r="E3" t="inlineStr" s="2">
        <is>
          <t>根拠/メモ</t>
        </is>
      </c>
    </row>
    <row r="4">
      <c r="A4" t="inlineStr" s="4">
        <is>
          <t>Main work RAM</t>
        </is>
      </c>
      <c r="B4" t="inlineStr" s="4">
        <is>
          <t>8 KiB</t>
        </is>
      </c>
      <c r="C4" t="inlineStr" s="4">
        <is>
          <t>スタック、変数、最低限のランタイムのみ</t>
        </is>
      </c>
      <c r="D4" t="inlineStr" s="4">
        <is>
          <t>背景/立ち絵/本文を置く場所ではない</t>
        </is>
      </c>
      <c r="E4" t="inlineStr" s="4">
        <is>
          <t>HuC6280本体RAM</t>
        </is>
      </c>
    </row>
    <row r="5">
      <c r="A5" t="inlineStr" s="4">
        <is>
          <t>CPU address mapping</t>
        </is>
      </c>
      <c r="B5" t="inlineStr" s="4">
        <is>
          <t>2 MiB physical, 8 KiB pages</t>
        </is>
      </c>
      <c r="C5" t="inlineStr" s="4">
        <is>
          <t>CD RAMやROM領域はページ切替前提</t>
        </is>
      </c>
      <c r="D5" t="inlineStr" s="4">
        <is>
          <t>ポインタを跨ぐ巨大連続配列にしない</t>
        </is>
      </c>
      <c r="E5" t="inlineStr" s="4">
        <is>
          <t>MPR 8本 x 8 KiB</t>
        </is>
      </c>
    </row>
    <row r="6">
      <c r="A6" t="inlineStr" s="4">
        <is>
          <t>VDC VRAM</t>
        </is>
      </c>
      <c r="B6" t="inlineStr" s="4">
        <is>
          <t>64 KiB</t>
        </is>
      </c>
      <c r="C6" t="inlineStr" s="4">
        <is>
          <t>BAT, BG tiles, sprite patterns, SATBが共有</t>
        </is>
      </c>
      <c r="D6" t="inlineStr" s="4">
        <is>
          <t>ここが最重要ボトルネック</t>
        </is>
      </c>
      <c r="E6" t="inlineStr" s="4">
        <is>
          <t>HuC6270</t>
        </is>
      </c>
    </row>
    <row r="7">
      <c r="A7" t="inlineStr" s="4">
        <is>
          <t>BG layer</t>
        </is>
      </c>
      <c r="B7" t="inlineStr" s="4">
        <is>
          <t>1 layer / 8x8 tiles</t>
        </is>
      </c>
      <c r="C7" t="inlineStr" s="4">
        <is>
          <t>背景とUIを同一BG面で合成</t>
        </is>
      </c>
      <c r="D7" t="inlineStr" s="4">
        <is>
          <t>ウィンドウUI用の別BG面はない</t>
        </is>
      </c>
      <c r="E7" t="inlineStr" s="4">
        <is>
          <t>HuC6270</t>
        </is>
      </c>
    </row>
    <row r="8">
      <c r="A8" t="inlineStr" s="4">
        <is>
          <t>BG tile</t>
        </is>
      </c>
      <c r="B8" t="inlineStr" s="4">
        <is>
          <t>8x8, 4bpp = 32 bytes</t>
        </is>
      </c>
      <c r="C8" t="inlineStr" s="4">
        <is>
          <t>ユニークタイル数でVRAMが決まる</t>
        </is>
      </c>
      <c r="D8" t="inlineStr" s="4">
        <is>
          <t>256x144完全ユニークで576 tiles</t>
        </is>
      </c>
      <c r="E8" t="inlineStr" s="4">
        <is>
          <t>計算値</t>
        </is>
      </c>
    </row>
    <row r="9">
      <c r="A9" t="inlineStr" s="4">
        <is>
          <t>Sprite pattern</t>
        </is>
      </c>
      <c r="B9" t="inlineStr" s="4">
        <is>
          <t>16x16, 4bpp = 128 bytes</t>
        </is>
      </c>
      <c r="C9" t="inlineStr" s="4">
        <is>
          <t>立ち絵は16x16 pattern数で見積もる</t>
        </is>
      </c>
      <c r="D9" t="inlineStr" s="4">
        <is>
          <t>96x160 = 60 patterns = 7.5 KiB/体</t>
        </is>
      </c>
      <c r="E9" t="inlineStr" s="4">
        <is>
          <t>計算値</t>
        </is>
      </c>
    </row>
    <row r="10">
      <c r="A10" t="inlineStr" s="4">
        <is>
          <t>Sprites</t>
        </is>
      </c>
      <c r="B10" t="inlineStr" s="4">
        <is>
          <t>64 total, &lt;=16/scanline</t>
        </is>
      </c>
      <c r="C10" t="inlineStr" s="4">
        <is>
          <t>立ち絵は32x64 chunksで分割</t>
        </is>
      </c>
      <c r="D10" t="inlineStr" s="4">
        <is>
          <t>同時3体以上は横幅でscanline制限に近づく</t>
        </is>
      </c>
      <c r="E10" t="inlineStr" s="4">
        <is>
          <t>HuC6270</t>
        </is>
      </c>
    </row>
    <row r="11">
      <c r="A11" t="inlineStr" s="4">
        <is>
          <t>Palettes</t>
        </is>
      </c>
      <c r="B11" t="inlineStr" s="4">
        <is>
          <t>BG 16 palettes + Sprite 16 palettes</t>
        </is>
      </c>
      <c r="C11" t="inlineStr" s="4">
        <is>
          <t>BGとSpriteで別枠。ただし各tile/spriteは1 palette</t>
        </is>
      </c>
      <c r="D11" t="inlineStr" s="4">
        <is>
          <t>1キャラ1-2 palette設計を推奨</t>
        </is>
      </c>
      <c r="E11" t="inlineStr" s="4">
        <is>
          <t>HuC6260/VCE</t>
        </is>
      </c>
    </row>
    <row r="12">
      <c r="A12" t="inlineStr" s="4">
        <is>
          <t>Super CD RAM</t>
        </is>
      </c>
      <c r="B12" t="inlineStr" s="4">
        <is>
          <t>256 KiB class</t>
        </is>
      </c>
      <c r="C12" t="inlineStr" s="4">
        <is>
          <t>ロード/展開/スクリプト用。実効160-192 KiBを上限に設計</t>
        </is>
      </c>
      <c r="D12" t="inlineStr" s="4">
        <is>
          <t>常駐データと展開バッファを分ける</t>
        </is>
      </c>
      <c r="E12" t="inlineStr" s="4">
        <is>
          <t>System Card 3.0 / SUPER CD-ROM2</t>
        </is>
      </c>
    </row>
    <row r="13">
      <c r="A13" t="inlineStr" s="4">
        <is>
          <t>ADPCM RAM</t>
        </is>
      </c>
      <c r="B13" t="inlineStr" s="4">
        <is>
          <t>64 KiB想定</t>
        </is>
      </c>
      <c r="C13" t="inlineStr" s="4">
        <is>
          <t>短いボイス/SEの一時常駐</t>
        </is>
      </c>
      <c r="D13" t="inlineStr" s="4">
        <is>
          <t>8kHz 4bitなら最大約16秒、実運用は8-12秒目安</t>
        </is>
      </c>
      <c r="E13" t="inlineStr" s="4">
        <is>
          <t>CD interface想定。要ツールチェーン確認</t>
        </is>
      </c>
    </row>
    <row r="14">
      <c r="A14" t="inlineStr" s="4">
        <is>
          <t>CD-DA</t>
        </is>
      </c>
      <c r="B14" t="inlineStr" s="4">
        <is>
          <t>Disc stream</t>
        </is>
      </c>
      <c r="C14" t="inlineStr" s="4">
        <is>
          <t>BGM/長尺音声向け</t>
        </is>
      </c>
      <c r="D14" t="inlineStr" s="4">
        <is>
          <t>RAMを食わないがトラック設計とループ点が必要</t>
        </is>
      </c>
      <c r="E14" t="inlineStr" s="4">
        <is>
          <t>CD-ROM2機能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14" customWidth="1"/>
    <col min="3" max="3" width="14" customWidth="1"/>
    <col min="4" max="4" width="22" customWidth="1"/>
    <col min="5" max="5" width="12" customWidth="1"/>
    <col min="6" max="6" width="14" customWidth="1"/>
    <col min="7" max="7" width="10" customWidth="1"/>
    <col min="8" max="8" width="20" customWidth="1"/>
    <col min="9" max="9" width="58" customWidth="1"/>
  </cols>
  <sheetData>
    <row r="1" ht="24" customHeight="1">
      <c r="A1" t="inlineStr" s="1">
        <is>
          <t>VRAM Budget - 320x224 / 288x128 BG profile</t>
        </is>
      </c>
    </row>
    <row r="2">
      <c r="A2" t="inlineStr" s="8">
        <is>
          <t>計算ルール</t>
        </is>
      </c>
      <c r="B2" t="inlineStr" s="8">
        <is>
          <t>BG tile = 32 bytes, sprite pattern = 128 bytes, BAT 64x32 = 4096 bytes, SATB = 512 bytes</t>
        </is>
      </c>
    </row>
    <row r="3">
      <c r="A3" t="inlineStr" s="2">
        <is>
          <t>Block</t>
        </is>
      </c>
      <c r="B3" t="inlineStr" s="2">
        <is>
          <t>Byte start</t>
        </is>
      </c>
      <c r="C3" t="inlineStr" s="2">
        <is>
          <t>Byte end</t>
        </is>
      </c>
      <c r="D3" t="inlineStr" s="2">
        <is>
          <t>Unit</t>
        </is>
      </c>
      <c r="E3" t="inlineStr" s="2">
        <is>
          <t>Units</t>
        </is>
      </c>
      <c r="F3" t="inlineStr" s="2">
        <is>
          <t>Bytes</t>
        </is>
      </c>
      <c r="G3" t="inlineStr" s="2">
        <is>
          <t>KiB</t>
        </is>
      </c>
      <c r="H3" t="inlineStr" s="2">
        <is>
          <t>Tile/Pattern base</t>
        </is>
      </c>
      <c r="I3" t="inlineStr" s="2">
        <is>
          <t>Purpose / guardrail</t>
        </is>
      </c>
    </row>
    <row r="4">
      <c r="A4" t="inlineStr" s="4">
        <is>
          <t>BAT 64x32</t>
        </is>
      </c>
      <c r="B4" t="inlineStr" s="4">
        <is>
          <t>0x0000</t>
        </is>
      </c>
      <c r="C4" t="inlineStr" s="4">
        <is>
          <t>0x0FFF</t>
        </is>
      </c>
      <c r="D4" t="inlineStr" s="4">
        <is>
          <t>map entry</t>
        </is>
      </c>
      <c r="E4" s="4">
        <v>2048</v>
      </c>
      <c r="F4" s="4">
        <v>4096</v>
      </c>
      <c r="G4" s="9">
        <f>F4/1024</f>
        <v>4.0</v>
      </c>
      <c r="H4" t="inlineStr" s="4">
        <is>
          <t>map base 0</t>
        </is>
      </c>
      <c r="I4" t="inlineStr" s="4">
        <is>
          <t>BG map for 320px screen / 64x32 BAT</t>
        </is>
      </c>
    </row>
    <row r="5">
      <c r="A5" t="inlineStr" s="4">
        <is>
          <t>Scene BG tiles</t>
        </is>
      </c>
      <c r="B5" t="inlineStr" s="4">
        <is>
          <t>0x1000</t>
        </is>
      </c>
      <c r="C5" t="inlineStr" s="4">
        <is>
          <t>0x57FF</t>
        </is>
      </c>
      <c r="D5" t="inlineStr" s="4">
        <is>
          <t>8x8 BG tile</t>
        </is>
      </c>
      <c r="E5" s="4">
        <v>576</v>
      </c>
      <c r="F5" s="4">
        <v>18432</v>
      </c>
      <c r="G5" s="9">
        <f>F5/1024</f>
        <v>18.0</v>
      </c>
      <c r="H5" t="inlineStr" s="4">
        <is>
          <t>tile 128</t>
        </is>
      </c>
      <c r="I5" t="inlineStr" s="4">
        <is>
          <t/>
        </is>
      </c>
    </row>
    <row r="6">
      <c r="A6" t="inlineStr" s="4">
        <is>
          <t>Reusable UI blank tiles</t>
        </is>
      </c>
      <c r="B6" t="inlineStr" s="4">
        <is>
          <t>0x5800</t>
        </is>
      </c>
      <c r="C6" t="inlineStr" s="4">
        <is>
          <t>0x58FF</t>
        </is>
      </c>
      <c r="D6" t="inlineStr" s="4">
        <is>
          <t>8x8 BG tile</t>
        </is>
      </c>
      <c r="E6" s="4">
        <v>8</v>
      </c>
      <c r="F6" s="4">
        <v>256</v>
      </c>
      <c r="G6" s="9">
        <f>F6/1024</f>
        <v>0.25</v>
      </c>
      <c r="H6" t="inlineStr" s="4">
        <is>
          <t>tile 704</t>
        </is>
      </c>
      <c r="I6" t="inlineStr" s="4">
        <is>
          <t/>
        </is>
      </c>
    </row>
    <row r="7">
      <c r="A7" t="inlineStr" s="4">
        <is>
          <t>16x16 glyph cache</t>
        </is>
      </c>
      <c r="B7" t="inlineStr" s="4">
        <is>
          <t>0x5900</t>
        </is>
      </c>
      <c r="C7" t="inlineStr" s="4">
        <is>
          <t>0x78FF</t>
        </is>
      </c>
      <c r="D7" t="inlineStr" s="4">
        <is>
          <t>8x8 BG tile</t>
        </is>
      </c>
      <c r="E7" s="4">
        <v>256</v>
      </c>
      <c r="F7" s="4">
        <v>8192</v>
      </c>
      <c r="G7" s="9">
        <f>F7/1024</f>
        <v>8.0</v>
      </c>
      <c r="H7" t="inlineStr" s="4">
        <is>
          <t>tile 712 / 64 glyphs</t>
        </is>
      </c>
      <c r="I7" t="inlineStr" s="4">
        <is>
          <t/>
        </is>
      </c>
    </row>
    <row r="8">
      <c r="A8" t="inlineStr" s="4">
        <is>
          <t>BG-side reserve</t>
        </is>
      </c>
      <c r="B8" t="inlineStr" s="4">
        <is>
          <t>0x7900</t>
        </is>
      </c>
      <c r="C8" t="inlineStr" s="4">
        <is>
          <t>0x7FFF</t>
        </is>
      </c>
      <c r="D8" t="inlineStr" s="4">
        <is>
          <t>bytes</t>
        </is>
      </c>
      <c r="E8" s="4">
        <v>1792</v>
      </c>
      <c r="F8" s="4">
        <v>1792</v>
      </c>
      <c r="G8" s="9">
        <f>F8/1024</f>
        <v>1.75</v>
      </c>
      <c r="H8" t="inlineStr" s="4">
        <is>
          <t>tile 968-1023</t>
        </is>
      </c>
      <c r="I8" t="inlineStr" s="4">
        <is>
          <t/>
        </is>
      </c>
    </row>
    <row r="9">
      <c r="A9" t="inlineStr" s="4">
        <is>
          <t>Live sprite patterns</t>
        </is>
      </c>
      <c r="B9" t="inlineStr" s="4">
        <is>
          <t>0x8000</t>
        </is>
      </c>
      <c r="C9" t="inlineStr" s="4">
        <is>
          <t>0xBFFF</t>
        </is>
      </c>
      <c r="D9" t="inlineStr" s="4">
        <is>
          <t>16x16 sprite pattern</t>
        </is>
      </c>
      <c r="E9" s="4">
        <v>128</v>
      </c>
      <c r="F9" s="4">
        <v>16384</v>
      </c>
      <c r="G9" s="9">
        <f>F9/1024</f>
        <v>16.0</v>
      </c>
      <c r="H9" t="inlineStr" s="4">
        <is>
          <t>pattern 256</t>
        </is>
      </c>
      <c r="I9" t="inlineStr" s="4">
        <is>
          <t/>
        </is>
      </c>
    </row>
    <row r="10">
      <c r="A10" t="inlineStr" s="4">
        <is>
          <t>Sprite/upload swap</t>
        </is>
      </c>
      <c r="B10" t="inlineStr" s="4">
        <is>
          <t>0xC000</t>
        </is>
      </c>
      <c r="C10" t="inlineStr" s="4">
        <is>
          <t>0xEFFF</t>
        </is>
      </c>
      <c r="D10" t="inlineStr" s="4">
        <is>
          <t>bytes</t>
        </is>
      </c>
      <c r="E10" s="4">
        <v>12288</v>
      </c>
      <c r="F10" s="4">
        <v>12288</v>
      </c>
      <c r="G10" s="9">
        <f>F10/1024</f>
        <v>12.0</v>
      </c>
      <c r="H10" t="inlineStr" s="4">
        <is>
          <t>pattern 384-479</t>
        </is>
      </c>
      <c r="I10" t="inlineStr" s="4">
        <is>
          <t/>
        </is>
      </c>
    </row>
    <row r="11">
      <c r="A11" t="inlineStr" s="4">
        <is>
          <t>High reserve</t>
        </is>
      </c>
      <c r="B11" t="inlineStr" s="4">
        <is>
          <t>0xF000</t>
        </is>
      </c>
      <c r="C11" t="inlineStr" s="4">
        <is>
          <t>0xFDFF</t>
        </is>
      </c>
      <c r="D11" t="inlineStr" s="4">
        <is>
          <t>bytes</t>
        </is>
      </c>
      <c r="E11" s="4">
        <v>3584</v>
      </c>
      <c r="F11" s="4">
        <v>3584</v>
      </c>
      <c r="G11" s="9">
        <f>F11/1024</f>
        <v>3.5</v>
      </c>
      <c r="H11" t="inlineStr" s="4">
        <is>
          <t>keep free</t>
        </is>
      </c>
      <c r="I11" t="inlineStr" s="4">
        <is>
          <t/>
        </is>
      </c>
    </row>
    <row r="12">
      <c r="A12" t="inlineStr" s="4">
        <is>
          <t>SATB copy area</t>
        </is>
      </c>
      <c r="B12" t="inlineStr" s="4">
        <is>
          <t>0xFE00</t>
        </is>
      </c>
      <c r="C12" t="inlineStr" s="4">
        <is>
          <t>0xFFFF</t>
        </is>
      </c>
      <c r="D12" t="inlineStr" s="4">
        <is>
          <t>sprite entry</t>
        </is>
      </c>
      <c r="E12" s="4">
        <v>64</v>
      </c>
      <c r="F12" s="4">
        <v>512</v>
      </c>
      <c r="G12" s="9">
        <f>F12/1024</f>
        <v>0.5</v>
      </c>
      <c r="H12" t="inlineStr" s="4">
        <is>
          <t>word addr 0x7F00</t>
        </is>
      </c>
      <c r="I12" t="inlineStr" s="4">
        <is>
          <t/>
        </is>
      </c>
    </row>
    <row r="13">
      <c r="A13" t="inlineStr" s="5">
        <is>
          <t>TOTAL</t>
        </is>
      </c>
      <c r="B13" t="inlineStr" s="5">
        <is>
          <t/>
        </is>
      </c>
      <c r="C13" t="inlineStr" s="5">
        <is>
          <t/>
        </is>
      </c>
      <c r="D13" t="inlineStr" s="5">
        <is>
          <t/>
        </is>
      </c>
      <c r="E13" t="inlineStr" s="5">
        <is>
          <t/>
        </is>
      </c>
      <c r="F13" s="9">
        <f>SUM(F4:F12)</f>
        <v>65536</v>
      </c>
      <c r="G13" s="9">
        <f>F13/1024</f>
        <v>64</v>
      </c>
      <c r="H13" t="inlineStr" s="5">
        <is>
          <t/>
        </is>
      </c>
      <c r="I13" t="inlineStr" s="5">
        <is>
          <t>Must stay at 64 KiB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6" customWidth="1"/>
    <col min="5" max="5" width="20" customWidth="1"/>
    <col min="6" max="6" width="68" customWidth="1"/>
  </cols>
  <sheetData>
    <row r="1" ht="24" customHeight="1">
      <c r="A1" t="inlineStr" s="1">
        <is>
          <t>Screen Layout - 320x224 baseline</t>
        </is>
      </c>
    </row>
    <row r="2">
      <c r="A2" t="inlineStr" s="8">
        <is>
          <t>注</t>
        </is>
      </c>
      <c r="B2" t="inlineStr" s="8">
        <is>
          <t>PCEはBGが1面なので、背景・メッセージ枠・名前欄・UIは同じBAT上に配置します。立ち絵はsprite layerで重ねます。</t>
        </is>
      </c>
    </row>
    <row r="3">
      <c r="A3" t="inlineStr" s="2">
        <is>
          <t>Element</t>
        </is>
      </c>
      <c r="B3" t="inlineStr" s="2">
        <is>
          <t>Pixel rect</t>
        </is>
      </c>
      <c r="C3" t="inlineStr" s="2">
        <is>
          <t>Tile rect</t>
        </is>
      </c>
      <c r="D3" t="inlineStr" s="2">
        <is>
          <t>Tile/pattern budget</t>
        </is>
      </c>
      <c r="E3" t="inlineStr" s="2">
        <is>
          <t>Palette budget</t>
        </is>
      </c>
      <c r="F3" t="inlineStr" s="2">
        <is>
          <t>Design notes</t>
        </is>
      </c>
    </row>
    <row r="4">
      <c r="A4" t="inlineStr" s="4">
        <is>
          <t>Background image</t>
        </is>
      </c>
      <c r="B4" t="inlineStr" s="4">
        <is>
          <t>x16 y16 w288 h128</t>
        </is>
      </c>
      <c r="C4" t="inlineStr" s="4">
        <is>
          <t>36x16</t>
        </is>
      </c>
      <c r="D4" t="inlineStr" s="4">
        <is>
          <t>&lt;=576 unique BG tiles</t>
        </is>
      </c>
      <c r="E4" t="inlineStr" s="4">
        <is>
          <t>BG palette 0-3</t>
        </is>
      </c>
      <c r="F4" t="inlineStr" s="4">
        <is>
          <t>完全ユニークでも18 KiB。tileBase 128から配置する。</t>
        </is>
      </c>
    </row>
    <row r="5">
      <c r="A5" t="inlineStr" s="4">
        <is>
          <t>Message text area</t>
        </is>
      </c>
      <c r="B5" t="inlineStr" s="4">
        <is>
          <t>x16 y152 w288 h64</t>
        </is>
      </c>
      <c r="C5" t="inlineStr" s="4">
        <is>
          <t>36x8 / 18x4 glyphs</t>
        </is>
      </c>
      <c r="D5" t="inlineStr" s="4">
        <is>
          <t>72 glyph positions</t>
        </is>
      </c>
      <c r="E5" t="inlineStr" s="4">
        <is>
          <t>BG palette 15</t>
        </is>
      </c>
      <c r="F5" t="inlineStr" s="4">
        <is>
          <t>16x16日本語glyphで1行18文字 x 4行。</t>
        </is>
      </c>
    </row>
    <row r="6">
      <c r="A6" t="inlineStr" s="4">
        <is>
          <t>Black margin</t>
        </is>
      </c>
      <c r="B6" t="inlineStr" s="4">
        <is>
          <t>all other areas</t>
        </is>
      </c>
      <c r="C6" t="inlineStr" s="4">
        <is>
          <t>BAT fill</t>
        </is>
      </c>
      <c r="D6" t="inlineStr" s="4">
        <is>
          <t>1 reusable blank tile</t>
        </is>
      </c>
      <c r="E6" t="inlineStr" s="4">
        <is>
          <t>BG palette 15</t>
        </is>
      </c>
      <c r="F6" t="inlineStr" s="4">
        <is>
          <t>背景/本文以外は黒tileで埋める。</t>
        </is>
      </c>
    </row>
    <row r="7">
      <c r="A7" t="inlineStr" s="4">
        <is>
          <t>Speaker name plate</t>
        </is>
      </c>
      <c r="B7" t="inlineStr" s="4">
        <is>
          <t>optional</t>
        </is>
      </c>
      <c r="C7" t="inlineStr" s="4">
        <is>
          <t>inside text area</t>
        </is>
      </c>
      <c r="D7" t="inlineStr" s="4">
        <is>
          <t>glyph cache shared</t>
        </is>
      </c>
      <c r="E7" t="inlineStr" s="4">
        <is>
          <t>BG palette 15</t>
        </is>
      </c>
      <c r="F7" t="inlineStr" s="4">
        <is>
          <t>初期版では本文と同じglyph cacheを使う。</t>
        </is>
      </c>
    </row>
    <row r="8">
      <c r="A8" t="inlineStr" s="4">
        <is>
          <t>Left character slot</t>
        </is>
      </c>
      <c r="B8" t="inlineStr" s="4">
        <is>
          <t>x8 y48 w96 h160</t>
        </is>
      </c>
      <c r="C8" t="inlineStr" s="4">
        <is>
          <t>sprite</t>
        </is>
      </c>
      <c r="D8" t="inlineStr" s="4">
        <is>
          <t>60 patterns / 9 objects</t>
        </is>
      </c>
      <c r="E8" t="inlineStr" s="4">
        <is>
          <t>Sprite palette 1-2</t>
        </is>
      </c>
      <c r="F8" t="inlineStr" s="4">
        <is>
          <t>96x160は2体同時までを初期上限にする。</t>
        </is>
      </c>
    </row>
    <row r="9">
      <c r="A9" t="inlineStr" s="4">
        <is>
          <t>Right character slot</t>
        </is>
      </c>
      <c r="B9" t="inlineStr" s="4">
        <is>
          <t>x152 y48 w96 h160</t>
        </is>
      </c>
      <c r="C9" t="inlineStr" s="4">
        <is>
          <t>sprite</t>
        </is>
      </c>
      <c r="D9" t="inlineStr" s="4">
        <is>
          <t>60 patterns / 9 objects</t>
        </is>
      </c>
      <c r="E9" t="inlineStr" s="4">
        <is>
          <t>Sprite palette 3-4</t>
        </is>
      </c>
      <c r="F9" t="inlineStr" s="4">
        <is>
          <t>横幅が被るとscanline object数が増えるため、中央配置と同時利用に注意。</t>
        </is>
      </c>
    </row>
    <row r="10">
      <c r="A10" t="inlineStr" s="4">
        <is>
          <t>Cursor / prompt</t>
        </is>
      </c>
      <c r="B10" t="inlineStr" s="4">
        <is>
          <t>x224 y204 w16 h16</t>
        </is>
      </c>
      <c r="C10" t="inlineStr" s="4">
        <is>
          <t>sprite or BG tile</t>
        </is>
      </c>
      <c r="D10" t="inlineStr" s="4">
        <is>
          <t>1 pattern or 1-4 BG tiles</t>
        </is>
      </c>
      <c r="E10" t="inlineStr" s="4">
        <is>
          <t>Sprite palette 15</t>
        </is>
      </c>
      <c r="F10" t="inlineStr" s="4">
        <is>
          <t>点滅カーソルはspriteにするとBGを書き換えずに済む。</t>
        </is>
      </c>
    </row>
    <row r="11">
      <c r="A11" t="inlineStr" s="6">
        <is>
          <t>System menu overlay</t>
        </is>
      </c>
      <c r="B11" t="inlineStr" s="6">
        <is>
          <t>avoid in v1</t>
        </is>
      </c>
      <c r="C11" t="inlineStr" s="6">
        <is>
          <t>n/a</t>
        </is>
      </c>
      <c r="D11" t="inlineStr" s="6">
        <is>
          <t>separate scene</t>
        </is>
      </c>
      <c r="E11" t="inlineStr" s="6">
        <is>
          <t>reserved</t>
        </is>
      </c>
      <c r="F11" t="inlineStr" s="6">
        <is>
          <t>初期版はポーズ/設定画面へ遷移してVRAMを入れ替える方が安全。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" customWidth="1"/>
    <col min="2" max="2" width="9" customWidth="1"/>
    <col min="3" max="3" width="9" customWidth="1"/>
    <col min="4" max="4" width="14" customWidth="1"/>
    <col min="5" max="5" width="16" customWidth="1"/>
    <col min="6" max="6" width="14" customWidth="1"/>
    <col min="7" max="7" width="14" customWidth="1"/>
    <col min="8" max="8" width="16" customWidth="1"/>
    <col min="9" max="9" width="14" customWidth="1"/>
    <col min="10" max="10" width="24" customWidth="1"/>
    <col min="11" max="11" width="48" customWidth="1"/>
  </cols>
  <sheetData>
    <row r="1" ht="24" customHeight="1">
      <c r="A1" t="inlineStr" s="1">
        <is>
          <t>Sprite Estimate</t>
        </is>
      </c>
    </row>
    <row r="2">
      <c r="A2" t="inlineStr" s="8">
        <is>
          <t>式</t>
        </is>
      </c>
      <c r="B2" t="inlineStr" s="8">
        <is>
          <t>patterns = CEILING(width/16) * CEILING(height/16); bytes = patterns * 128; objects = CEILING(width/32) * CEILING(height/64); scanline objects = CEILING(width/32) * simultaneous</t>
        </is>
      </c>
    </row>
    <row r="3">
      <c r="A3" t="inlineStr" s="2">
        <is>
          <t>Use case</t>
        </is>
      </c>
      <c r="B3" t="inlineStr" s="2">
        <is>
          <t>W</t>
        </is>
      </c>
      <c r="C3" t="inlineStr" s="2">
        <is>
          <t>H</t>
        </is>
      </c>
      <c r="D3" t="inlineStr" s="2">
        <is>
          <t>Simultaneous</t>
        </is>
      </c>
      <c r="E3" t="inlineStr" s="2">
        <is>
          <t>Patterns/char</t>
        </is>
      </c>
      <c r="F3" t="inlineStr" s="2">
        <is>
          <t>Bytes/char</t>
        </is>
      </c>
      <c r="G3" t="inlineStr" s="2">
        <is>
          <t>Objects/char</t>
        </is>
      </c>
      <c r="H3" t="inlineStr" s="2">
        <is>
          <t>Scanline objects</t>
        </is>
      </c>
      <c r="I3" t="inlineStr" s="2">
        <is>
          <t>2-char bytes</t>
        </is>
      </c>
      <c r="J3" t="inlineStr" s="2">
        <is>
          <t>Fits initial 16 KiB live area?</t>
        </is>
      </c>
      <c r="K3" t="inlineStr" s="2">
        <is>
          <t>Notes</t>
        </is>
      </c>
    </row>
    <row r="4">
      <c r="A4" t="inlineStr" s="5">
        <is>
          <t>Small bust</t>
        </is>
      </c>
      <c r="B4" s="5">
        <v>64</v>
      </c>
      <c r="C4" s="5">
        <v>96</v>
      </c>
      <c r="D4" s="5">
        <v>2</v>
      </c>
      <c r="E4" s="9">
        <f>CEILING(B4/16,1)*CEILING(C4/16,1)</f>
        <v>24</v>
      </c>
      <c r="F4" s="9">
        <f>E4*128</f>
        <v>3072</v>
      </c>
      <c r="G4" s="9">
        <f>CEILING(B4/32,1)*CEILING(C4/64,1)</f>
        <v>4</v>
      </c>
      <c r="H4" s="9">
        <f>CEILING(B4/32,1)*D4</f>
        <v>4</v>
      </c>
      <c r="I4" s="9">
        <f>F4*D4</f>
        <v>6144</v>
      </c>
      <c r="J4" t="inlineStr" s="5">
        <is>
          <t>OK</t>
        </is>
      </c>
      <c r="K4" t="inlineStr" s="5">
        <is>
          <t>safe for dialogue cut-ins</t>
        </is>
      </c>
    </row>
    <row r="5">
      <c r="A5" t="inlineStr" s="5">
        <is>
          <t>Half body</t>
        </is>
      </c>
      <c r="B5" s="5">
        <v>64</v>
      </c>
      <c r="C5" s="5">
        <v>128</v>
      </c>
      <c r="D5" s="5">
        <v>2</v>
      </c>
      <c r="E5" s="9">
        <f>CEILING(B5/16,1)*CEILING(C5/16,1)</f>
        <v>32</v>
      </c>
      <c r="F5" s="9">
        <f>E5*128</f>
        <v>4096</v>
      </c>
      <c r="G5" s="9">
        <f>CEILING(B5/32,1)*CEILING(C5/64,1)</f>
        <v>4</v>
      </c>
      <c r="H5" s="9">
        <f>CEILING(B5/32,1)*D5</f>
        <v>4</v>
      </c>
      <c r="I5" s="9">
        <f>F5*D5</f>
        <v>8192</v>
      </c>
      <c r="J5" t="inlineStr" s="5">
        <is>
          <t>OK</t>
        </is>
      </c>
      <c r="K5" t="inlineStr" s="5">
        <is>
          <t>good default for two characters</t>
        </is>
      </c>
    </row>
    <row r="6">
      <c r="A6" t="inlineStr" s="5">
        <is>
          <t>Large standing</t>
        </is>
      </c>
      <c r="B6" s="5">
        <v>96</v>
      </c>
      <c r="C6" s="5">
        <v>160</v>
      </c>
      <c r="D6" s="5">
        <v>2</v>
      </c>
      <c r="E6" s="9">
        <f>CEILING(B6/16,1)*CEILING(C6/16,1)</f>
        <v>60</v>
      </c>
      <c r="F6" s="9">
        <f>E6*128</f>
        <v>7680</v>
      </c>
      <c r="G6" s="9">
        <f>CEILING(B6/32,1)*CEILING(C6/64,1)</f>
        <v>9</v>
      </c>
      <c r="H6" s="9">
        <f>CEILING(B6/32,1)*D6</f>
        <v>6</v>
      </c>
      <c r="I6" s="9">
        <f>F6*D6</f>
        <v>15360</v>
      </c>
      <c r="J6" t="inlineStr" s="5">
        <is>
          <t>OK</t>
        </is>
      </c>
      <c r="K6" t="inlineStr" s="5">
        <is>
          <t>recommended upper bound for v1</t>
        </is>
      </c>
    </row>
    <row r="7">
      <c r="A7" t="inlineStr" s="6">
        <is>
          <t>Wide standing</t>
        </is>
      </c>
      <c r="B7" s="6">
        <v>128</v>
      </c>
      <c r="C7" s="6">
        <v>176</v>
      </c>
      <c r="D7" s="6">
        <v>2</v>
      </c>
      <c r="E7" s="9">
        <f>CEILING(B7/16,1)*CEILING(C7/16,1)</f>
        <v>88</v>
      </c>
      <c r="F7" s="9">
        <f>E7*128</f>
        <v>11264</v>
      </c>
      <c r="G7" s="9">
        <f>CEILING(B7/32,1)*CEILING(C7/64,1)</f>
        <v>12</v>
      </c>
      <c r="H7" s="9">
        <f>CEILING(B7/32,1)*D7</f>
        <v>8</v>
      </c>
      <c r="I7" s="9">
        <f>F7*D7</f>
        <v>22528</v>
      </c>
      <c r="J7" t="inlineStr" s="6">
        <is>
          <t>Risk</t>
        </is>
      </c>
      <c r="K7" t="inlineStr" s="6">
        <is>
          <t>VRAM possible but leaves little room for alternates</t>
        </is>
      </c>
    </row>
    <row r="8">
      <c r="A8" t="inlineStr" s="5">
        <is>
          <t>Single hero large</t>
        </is>
      </c>
      <c r="B8" s="5">
        <v>128</v>
      </c>
      <c r="C8" s="5">
        <v>192</v>
      </c>
      <c r="D8" s="5">
        <v>1</v>
      </c>
      <c r="E8" s="9">
        <f>CEILING(B8/16,1)*CEILING(C8/16,1)</f>
        <v>96</v>
      </c>
      <c r="F8" s="9">
        <f>E8*128</f>
        <v>12288</v>
      </c>
      <c r="G8" s="9">
        <f>CEILING(B8/32,1)*CEILING(C8/64,1)</f>
        <v>12</v>
      </c>
      <c r="H8" s="9">
        <f>CEILING(B8/32,1)*D8</f>
        <v>4</v>
      </c>
      <c r="I8" s="9">
        <f>F8*D8</f>
        <v>12288</v>
      </c>
      <c r="J8" t="inlineStr" s="5">
        <is>
          <t>OK</t>
        </is>
      </c>
      <c r="K8" t="inlineStr" s="5">
        <is>
          <t>one large character only</t>
        </is>
      </c>
    </row>
    <row r="9">
      <c r="A9" t="inlineStr" s="5">
        <is>
          <t>Face icon</t>
        </is>
      </c>
      <c r="B9" s="5">
        <v>32</v>
      </c>
      <c r="C9" s="5">
        <v>64</v>
      </c>
      <c r="D9" s="5">
        <v>3</v>
      </c>
      <c r="E9" s="9">
        <f>CEILING(B9/16,1)*CEILING(C9/16,1)</f>
        <v>8</v>
      </c>
      <c r="F9" s="9">
        <f>E9*128</f>
        <v>1024</v>
      </c>
      <c r="G9" s="9">
        <f>CEILING(B9/32,1)*CEILING(C9/64,1)</f>
        <v>1</v>
      </c>
      <c r="H9" s="9">
        <f>CEILING(B9/32,1)*D9</f>
        <v>3</v>
      </c>
      <c r="I9" s="9">
        <f>F9*D9</f>
        <v>3072</v>
      </c>
      <c r="J9" t="inlineStr" s="5">
        <is>
          <t>OK</t>
        </is>
      </c>
      <c r="K9" t="inlineStr" s="5">
        <is>
          <t>small UI portraits / reactions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4" customWidth="1"/>
    <col min="3" max="3" width="14" customWidth="1"/>
    <col min="4" max="4" width="34" customWidth="1"/>
    <col min="5" max="5" width="56" customWidth="1"/>
  </cols>
  <sheetData>
    <row r="1" ht="24" customHeight="1">
      <c r="A1" t="inlineStr" s="1">
        <is>
          <t>RAM / CD Runtime Budget</t>
        </is>
      </c>
    </row>
    <row r="2">
      <c r="A2" t="inlineStr" s="8">
        <is>
          <t>注</t>
        </is>
      </c>
      <c r="B2" t="inlineStr" s="8">
        <is>
          <t>Super CD RAMの厳密な空き量はBIOS/driver/linker scriptで確認する必要があります。このシートは企画・エディター警告用の安全側モデルです。</t>
        </is>
      </c>
    </row>
    <row r="3">
      <c r="A3" t="inlineStr" s="2">
        <is>
          <t>Pool</t>
        </is>
      </c>
      <c r="B3" t="inlineStr" s="2">
        <is>
          <t>Item</t>
        </is>
      </c>
      <c r="C3" t="inlineStr" s="2">
        <is>
          <t>Budget KiB</t>
        </is>
      </c>
      <c r="D3" t="inlineStr" s="2">
        <is>
          <t>Formula / capacity</t>
        </is>
      </c>
      <c r="E3" t="inlineStr" s="2">
        <is>
          <t>Design action</t>
        </is>
      </c>
    </row>
    <row r="4">
      <c r="A4" t="inlineStr" s="4">
        <is>
          <t>Main WRAM 8 KiB</t>
        </is>
      </c>
      <c r="B4" t="inlineStr" s="4">
        <is>
          <t>Stack + IRQ temp</t>
        </is>
      </c>
      <c r="C4" s="4">
        <v>1.0</v>
      </c>
      <c r="D4" t="inlineStr" s="4">
        <is>
          <t/>
        </is>
      </c>
      <c r="E4" t="inlineStr" s="4">
        <is>
          <t>深い再帰・巨大自動配列を禁止</t>
        </is>
      </c>
    </row>
    <row r="5">
      <c r="A5" t="inlineStr" s="4">
        <is>
          <t>Main WRAM 8 KiB</t>
        </is>
      </c>
      <c r="B5" t="inlineStr" s="4">
        <is>
          <t>Engine state / scene VM</t>
        </is>
      </c>
      <c r="C5" s="4">
        <v>1.5</v>
      </c>
      <c r="D5" t="inlineStr" s="4">
        <is>
          <t/>
        </is>
      </c>
      <c r="E5" t="inlineStr" s="4">
        <is>
          <t>scene stateは構造体で固定長化</t>
        </is>
      </c>
    </row>
    <row r="6">
      <c r="A6" t="inlineStr" s="4">
        <is>
          <t>Main WRAM 8 KiB</t>
        </is>
      </c>
      <c r="B6" t="inlineStr" s="4">
        <is>
          <t>Input/timers/window state</t>
        </is>
      </c>
      <c r="C6" s="4">
        <v>1.0</v>
      </c>
      <c r="D6" t="inlineStr" s="4">
        <is>
          <t/>
        </is>
      </c>
      <c r="E6" t="inlineStr" s="4">
        <is>
          <t>UI状態は最小限</t>
        </is>
      </c>
    </row>
    <row r="7">
      <c r="A7" t="inlineStr" s="4">
        <is>
          <t>Main WRAM 8 KiB</t>
        </is>
      </c>
      <c r="B7" t="inlineStr" s="4">
        <is>
          <t>Small transfer descriptors</t>
        </is>
      </c>
      <c r="C7" s="4">
        <v>2.0</v>
      </c>
      <c r="D7" t="inlineStr" s="4">
        <is>
          <t/>
        </is>
      </c>
      <c r="E7" t="inlineStr" s="4">
        <is>
          <t>VRAM転送キューはリングバッファ化</t>
        </is>
      </c>
    </row>
    <row r="8">
      <c r="A8" t="inlineStr" s="5">
        <is>
          <t>Main WRAM 8 KiB</t>
        </is>
      </c>
      <c r="B8" t="inlineStr" s="5">
        <is>
          <t>Reserve</t>
        </is>
      </c>
      <c r="C8" s="9">
        <f>8-SUM(C4:C7)</f>
        <v>2.5</v>
      </c>
      <c r="D8" t="inlineStr" s="5">
        <is>
          <t/>
        </is>
      </c>
      <c r="E8" t="inlineStr" s="5">
        <is>
          <t>常に2 KiB以上残す</t>
        </is>
      </c>
    </row>
    <row r="9">
      <c r="A9" t="inlineStr" s="4">
        <is>
          <t>Super CD RAM 256 KiB</t>
        </is>
      </c>
      <c r="B9" t="inlineStr" s="4">
        <is>
          <t>BIOS/driver/runtime reserve</t>
        </is>
      </c>
      <c r="C9" s="4">
        <v>48</v>
      </c>
      <c r="D9" t="inlineStr" s="4">
        <is>
          <t/>
        </is>
      </c>
      <c r="E9" t="inlineStr" s="4">
        <is>
          <t>未検証領域として最初から除外</t>
        </is>
      </c>
    </row>
    <row r="10">
      <c r="A10" t="inlineStr" s="4">
        <is>
          <t>Super CD RAM 256 KiB</t>
        </is>
      </c>
      <c r="B10" t="inlineStr" s="4">
        <is>
          <t>Scene script + index</t>
        </is>
      </c>
      <c r="C10" s="4">
        <v>12</v>
      </c>
      <c r="D10" t="inlineStr" s="4">
        <is>
          <t/>
        </is>
      </c>
      <c r="E10" t="inlineStr" s="4">
        <is>
          <t>分岐/ラベル/scene table</t>
        </is>
      </c>
    </row>
    <row r="11">
      <c r="A11" t="inlineStr" s="4">
        <is>
          <t>Super CD RAM 256 KiB</t>
        </is>
      </c>
      <c r="B11" t="inlineStr" s="4">
        <is>
          <t>Current text block</t>
        </is>
      </c>
      <c r="C11" s="4">
        <v>8</v>
      </c>
      <c r="D11" t="inlineStr" s="4">
        <is>
          <t/>
        </is>
      </c>
      <c r="E11" t="inlineStr" s="4">
        <is>
          <t>1 scene単位。章全体を常駐しない</t>
        </is>
      </c>
    </row>
    <row r="12">
      <c r="A12" t="inlineStr" s="4">
        <is>
          <t>Super CD RAM 256 KiB</t>
        </is>
      </c>
      <c r="B12" t="inlineStr" s="4">
        <is>
          <t>Font source / glyph staging</t>
        </is>
      </c>
      <c r="C12" s="4">
        <v>16</v>
      </c>
      <c r="D12" t="inlineStr" s="4">
        <is>
          <t/>
        </is>
      </c>
      <c r="E12" t="inlineStr" s="4">
        <is>
          <t>glyph cache生成用</t>
        </is>
      </c>
    </row>
    <row r="13">
      <c r="A13" t="inlineStr" s="4">
        <is>
          <t>Super CD RAM 256 KiB</t>
        </is>
      </c>
      <c r="B13" t="inlineStr" s="4">
        <is>
          <t>CD sector + decompression buffers</t>
        </is>
      </c>
      <c r="C13" s="4">
        <v>32</v>
      </c>
      <c r="D13" t="inlineStr" s="4">
        <is>
          <t/>
        </is>
      </c>
      <c r="E13" t="inlineStr" s="4">
        <is>
          <t>VRAM upload前の展開領域</t>
        </is>
      </c>
    </row>
    <row r="14">
      <c r="A14" t="inlineStr" s="4">
        <is>
          <t>Super CD RAM 256 KiB</t>
        </is>
      </c>
      <c r="B14" t="inlineStr" s="4">
        <is>
          <t>Compressed BG staging</t>
        </is>
      </c>
      <c r="C14" s="4">
        <v>32</v>
      </c>
      <c r="D14" t="inlineStr" s="4">
        <is>
          <t/>
        </is>
      </c>
      <c r="E14" t="inlineStr" s="4">
        <is>
          <t>scene transition中だけ保持</t>
        </is>
      </c>
    </row>
    <row r="15">
      <c r="A15" t="inlineStr" s="4">
        <is>
          <t>Super CD RAM 256 KiB</t>
        </is>
      </c>
      <c r="B15" t="inlineStr" s="4">
        <is>
          <t>Compressed sprite staging</t>
        </is>
      </c>
      <c r="C15" s="4">
        <v>32</v>
      </c>
      <c r="D15" t="inlineStr" s="4">
        <is>
          <t/>
        </is>
      </c>
      <c r="E15" t="inlineStr" s="4">
        <is>
          <t>立ち絵差分/表情</t>
        </is>
      </c>
    </row>
    <row r="16">
      <c r="A16" t="inlineStr" s="4">
        <is>
          <t>Super CD RAM 256 KiB</t>
        </is>
      </c>
      <c r="B16" t="inlineStr" s="4">
        <is>
          <t>Audio cue tables</t>
        </is>
      </c>
      <c r="C16" s="4">
        <v>4</v>
      </c>
      <c r="D16" t="inlineStr" s="4">
        <is>
          <t/>
        </is>
      </c>
      <c r="E16" t="inlineStr" s="4">
        <is>
          <t>CD-DA/ADPCM metadata</t>
        </is>
      </c>
    </row>
    <row r="17">
      <c r="A17" t="inlineStr" s="5">
        <is>
          <t>Super CD RAM 256 KiB</t>
        </is>
      </c>
      <c r="B17" t="inlineStr" s="5">
        <is>
          <t>Reserve</t>
        </is>
      </c>
      <c r="C17" s="9">
        <f>256-SUM(C10:C17)</f>
        <v>72</v>
      </c>
      <c r="D17" t="inlineStr" s="5">
        <is>
          <t/>
        </is>
      </c>
      <c r="E17" t="inlineStr" s="5">
        <is>
          <t>実効空きが少ない場合に吸収</t>
        </is>
      </c>
    </row>
    <row r="18">
      <c r="A18" t="inlineStr" s="4">
        <is>
          <t>ADPCM RAM 64 KiB</t>
        </is>
      </c>
      <c r="B18" t="inlineStr" s="4">
        <is>
          <t>Voice bank target</t>
        </is>
      </c>
      <c r="C18" s="4">
        <v>32</v>
      </c>
      <c r="D18" t="inlineStr" s="4">
        <is>
          <t>32 KiB / 4 KiB per sec = 8 sec @ 8 kHz 4bit</t>
        </is>
      </c>
      <c r="E18" t="inlineStr" s="4">
        <is>
          <t>長い音声はCD-DAか分割</t>
        </is>
      </c>
    </row>
    <row r="19">
      <c r="A19" t="inlineStr" s="4">
        <is>
          <t>ADPCM RAM 64 KiB</t>
        </is>
      </c>
      <c r="B19" t="inlineStr" s="4">
        <is>
          <t>Reserve / next cue</t>
        </is>
      </c>
      <c r="C19" s="4">
        <v>32</v>
      </c>
      <c r="D19" t="inlineStr" s="4">
        <is>
          <t>64 KiB max about 16 sec @ 8 kHz 4bit</t>
        </is>
      </c>
      <c r="E19" t="inlineStr" s="4">
        <is>
          <t>次キュー先読み用</t>
        </is>
      </c>
    </row>
    <row r="20">
      <c r="A20" t="inlineStr" s="4">
        <is>
          <t>CD-DA</t>
        </is>
      </c>
      <c r="B20" t="inlineStr" s="4">
        <is>
          <t>BGM / long narration</t>
        </is>
      </c>
      <c r="C20" s="4">
        <v>0</v>
      </c>
      <c r="D20" t="inlineStr" s="4">
        <is>
          <t>streamed from disc</t>
        </is>
      </c>
      <c r="E20" t="inlineStr" s="4">
        <is>
          <t>RAMではなくtrack/cue設計の問題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8" customWidth="1"/>
    <col min="2" max="2" width="16" customWidth="1"/>
    <col min="3" max="3" width="12" customWidth="1"/>
    <col min="4" max="4" width="14" customWidth="1"/>
    <col min="5" max="5" width="18" customWidth="1"/>
    <col min="6" max="6" width="12" customWidth="1"/>
    <col min="7" max="7" width="12" customWidth="1"/>
    <col min="8" max="8" width="12" customWidth="1"/>
    <col min="9" max="9" width="14" customWidth="1"/>
    <col min="10" max="10" width="12" customWidth="1"/>
    <col min="11" max="11" width="12" customWidth="1"/>
    <col min="12" max="12" width="12" customWidth="1"/>
  </cols>
  <sheetData>
    <row r="1" ht="24" customHeight="1">
      <c r="A1" t="inlineStr" s="1">
        <is>
          <t>Scene VRAM Fit Model</t>
        </is>
      </c>
    </row>
    <row r="2">
      <c r="A2" t="inlineStr" s="8">
        <is>
          <t>式</t>
        </is>
      </c>
      <c r="B2" t="inlineStr" s="8">
        <is>
          <t>Total = 64x32 BAT + BG tile bytes + UI blank bytes + glyph bytes + sprite pattern bytes + SATB. 64 KiBとの差分が実行時余裕です。</t>
        </is>
      </c>
    </row>
    <row r="3">
      <c r="A3" t="inlineStr" s="2">
        <is>
          <t>Scenario</t>
        </is>
      </c>
      <c r="B3" t="inlineStr" s="2">
        <is>
          <t>BG unique tiles</t>
        </is>
      </c>
      <c r="C3" t="inlineStr" s="2">
        <is>
          <t>UI bytes</t>
        </is>
      </c>
      <c r="D3" t="inlineStr" s="2">
        <is>
          <t>Glyphs 16x16</t>
        </is>
      </c>
      <c r="E3" t="inlineStr" s="2">
        <is>
          <t>Sprite patterns total</t>
        </is>
      </c>
      <c r="F3" t="inlineStr" s="2">
        <is>
          <t>BG bytes</t>
        </is>
      </c>
      <c r="G3" t="inlineStr" s="2">
        <is>
          <t>Glyph bytes</t>
        </is>
      </c>
      <c r="H3" t="inlineStr" s="2">
        <is>
          <t>Sprite bytes</t>
        </is>
      </c>
      <c r="I3" t="inlineStr" s="2">
        <is>
          <t>Fixed BAT+SATB</t>
        </is>
      </c>
      <c r="J3" t="inlineStr" s="2">
        <is>
          <t>Total bytes</t>
        </is>
      </c>
      <c r="K3" t="inlineStr" s="2">
        <is>
          <t>Free bytes</t>
        </is>
      </c>
      <c r="L3" t="inlineStr" s="2">
        <is>
          <t>Status</t>
        </is>
      </c>
    </row>
    <row r="4">
      <c r="A4" t="inlineStr" s="5">
        <is>
          <t>Current 320 template</t>
        </is>
      </c>
      <c r="B4" s="5">
        <v>24</v>
      </c>
      <c r="C4" s="5">
        <v>256</v>
      </c>
      <c r="D4" s="5">
        <v>31</v>
      </c>
      <c r="E4" s="5">
        <v>8</v>
      </c>
      <c r="F4" s="9">
        <f>B4*32</f>
        <v>768</v>
      </c>
      <c r="G4" s="9">
        <f>D4*128</f>
        <v>3968</v>
      </c>
      <c r="H4" s="9">
        <f>E4*128</f>
        <v>1024</v>
      </c>
      <c r="I4" s="5">
        <v>4608</v>
      </c>
      <c r="J4" s="9">
        <f>SUM(F4:I4)</f>
        <v>10624</v>
      </c>
      <c r="K4" s="9">
        <f>65536-J4</f>
        <v>54912</v>
      </c>
      <c r="L4" t="inlineStr" s="5">
        <is>
          <t>OK</t>
        </is>
      </c>
    </row>
    <row r="5">
      <c r="A5" t="inlineStr" s="5">
        <is>
          <t>Worst-case 288x128 BG</t>
        </is>
      </c>
      <c r="B5" s="5">
        <v>576</v>
      </c>
      <c r="C5" s="5">
        <v>256</v>
      </c>
      <c r="D5" s="5">
        <v>72</v>
      </c>
      <c r="E5" s="5">
        <v>8</v>
      </c>
      <c r="F5" s="9">
        <f>B5*32</f>
        <v>18432</v>
      </c>
      <c r="G5" s="9">
        <f>D5*128</f>
        <v>9216</v>
      </c>
      <c r="H5" s="9">
        <f>E5*128</f>
        <v>1024</v>
      </c>
      <c r="I5" s="5">
        <v>4608</v>
      </c>
      <c r="J5" s="9">
        <f>SUM(F5:I5)</f>
        <v>33536</v>
      </c>
      <c r="K5" s="9">
        <f>65536-J5</f>
        <v>32000</v>
      </c>
      <c r="L5" t="inlineStr" s="5">
        <is>
          <t>OK</t>
        </is>
      </c>
    </row>
    <row r="6">
      <c r="A6" t="inlineStr" s="5">
        <is>
          <t>Worst BG + one 96x160</t>
        </is>
      </c>
      <c r="B6" s="5">
        <v>576</v>
      </c>
      <c r="C6" s="5">
        <v>256</v>
      </c>
      <c r="D6" s="5">
        <v>72</v>
      </c>
      <c r="E6" s="5">
        <v>60</v>
      </c>
      <c r="F6" s="9">
        <f>B6*32</f>
        <v>18432</v>
      </c>
      <c r="G6" s="9">
        <f>D6*128</f>
        <v>9216</v>
      </c>
      <c r="H6" s="9">
        <f>E6*128</f>
        <v>7680</v>
      </c>
      <c r="I6" s="5">
        <v>4608</v>
      </c>
      <c r="J6" s="9">
        <f>SUM(F6:I6)</f>
        <v>40192</v>
      </c>
      <c r="K6" s="9">
        <f>65536-J6</f>
        <v>25344</v>
      </c>
      <c r="L6" t="inlineStr" s="5">
        <is>
          <t>OK</t>
        </is>
      </c>
    </row>
    <row r="7">
      <c r="A7" t="inlineStr" s="5">
        <is>
          <t>Worst BG + two 96x160</t>
        </is>
      </c>
      <c r="B7" s="5">
        <v>576</v>
      </c>
      <c r="C7" s="5">
        <v>256</v>
      </c>
      <c r="D7" s="5">
        <v>72</v>
      </c>
      <c r="E7" s="5">
        <v>120</v>
      </c>
      <c r="F7" s="9">
        <f>B7*32</f>
        <v>18432</v>
      </c>
      <c r="G7" s="9">
        <f>D7*128</f>
        <v>9216</v>
      </c>
      <c r="H7" s="9">
        <f>E7*128</f>
        <v>15360</v>
      </c>
      <c r="I7" s="5">
        <v>4608</v>
      </c>
      <c r="J7" s="9">
        <f>SUM(F7:I7)</f>
        <v>47872</v>
      </c>
      <c r="K7" s="9">
        <f>65536-J7</f>
        <v>17664</v>
      </c>
      <c r="L7" t="inlineStr" s="5">
        <is>
          <t>OK</t>
        </is>
      </c>
    </row>
    <row r="8">
      <c r="A8" t="inlineStr" s="6">
        <is>
          <t>Worst BG + three large chars</t>
        </is>
      </c>
      <c r="B8" s="6">
        <v>576</v>
      </c>
      <c r="C8" s="6">
        <v>256</v>
      </c>
      <c r="D8" s="6">
        <v>96</v>
      </c>
      <c r="E8" s="6">
        <v>180</v>
      </c>
      <c r="F8" s="9">
        <f>B8*32</f>
        <v>18432</v>
      </c>
      <c r="G8" s="9">
        <f>D8*128</f>
        <v>12288</v>
      </c>
      <c r="H8" s="9">
        <f>E8*128</f>
        <v>23040</v>
      </c>
      <c r="I8" s="6">
        <v>4608</v>
      </c>
      <c r="J8" s="9">
        <f>SUM(F8:I8)</f>
        <v>58624</v>
      </c>
      <c r="K8" s="9">
        <f>65536-J8</f>
        <v>6912</v>
      </c>
      <c r="L8" t="inlineStr" s="6">
        <is>
          <t>Tight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3" width="46" customWidth="1"/>
    <col min="4" max="4" width="58" customWidth="1"/>
  </cols>
  <sheetData>
    <row r="1" ht="24" customHeight="1">
      <c r="A1" t="inlineStr" s="1">
        <is>
          <t>Current Template Diagnosis</t>
        </is>
      </c>
    </row>
    <row r="2">
      <c r="A2" t="inlineStr" s="8">
        <is>
          <t>対象</t>
        </is>
      </c>
      <c r="B2" t="inlineStr" s="8">
        <is>
          <t>pce-game-editor/template/template_pce_vn_cd と pce-sample-builder/template-vn の現状を、設計台帳の観点で見た診断です。</t>
        </is>
      </c>
    </row>
    <row r="3">
      <c r="A3" t="inlineStr" s="2">
        <is>
          <t>Area</t>
        </is>
      </c>
      <c r="B3" t="inlineStr" s="2">
        <is>
          <t>Current</t>
        </is>
      </c>
      <c r="C3" t="inlineStr" s="2">
        <is>
          <t>Problem</t>
        </is>
      </c>
      <c r="D3" t="inlineStr" s="2">
        <is>
          <t>Design requirement</t>
        </is>
      </c>
    </row>
    <row r="4">
      <c r="A4" t="inlineStr" s="4">
        <is>
          <t>Background</t>
        </is>
      </c>
      <c r="B4" t="inlineStr" s="4">
        <is>
          <t>288x128, generated tileCount 24, vramBytes 1920</t>
        </is>
      </c>
      <c r="C4" t="inlineStr" s="4">
        <is>
          <t>タイル効率は良いが、最悪ケース576 tilesの検証は別途必要</t>
        </is>
      </c>
      <c r="D4" t="inlineStr" s="4">
        <is>
          <t>変換時に576 tile級背景でもVRAM警告が正しく出ることを検証</t>
        </is>
      </c>
    </row>
    <row r="5">
      <c r="A5" t="inlineStr" s="6">
        <is>
          <t>Character sprite</t>
        </is>
      </c>
      <c r="B5" t="inlineStr" s="6">
        <is>
          <t>32x64, 8 patterns, 1024 bytes</t>
        </is>
      </c>
      <c r="C5" t="inlineStr" s="6">
        <is>
          <t>右端配置確認用としては安全。大きな立ち絵負荷はまだ見ていない</t>
        </is>
      </c>
      <c r="D5" t="inlineStr" s="6">
        <is>
          <t>96x160程度のmulti-sprite立ち絵を次段階で検証</t>
        </is>
      </c>
    </row>
    <row r="6">
      <c r="A6" t="inlineStr" s="4">
        <is>
          <t>Sprite conversion</t>
        </is>
      </c>
      <c r="B6" t="inlineStr" s="4">
        <is>
          <t>tile too many colors warningsあり</t>
        </is>
      </c>
      <c r="C6" t="inlineStr" s="4">
        <is>
          <t>16色/palette制約に収まらない素材を通している</t>
        </is>
      </c>
      <c r="D6" t="inlineStr" s="4">
        <is>
          <t>変換結果が警告ありならテンプレートとしては不合格扱い</t>
        </is>
      </c>
    </row>
    <row r="7">
      <c r="A7" t="inlineStr" s="4">
        <is>
          <t>Text</t>
        </is>
      </c>
      <c r="B7" t="inlineStr" s="4">
        <is>
          <t>PCE_VN_FONT_TILE_BASE 168 / 16x16 glyph</t>
        </is>
      </c>
      <c r="C7" t="inlineStr" s="4">
        <is>
          <t>glyph cache上限とページ文字数の設計がない</t>
        </is>
      </c>
      <c r="D7" t="inlineStr" s="4">
        <is>
          <t>ページ単位glyph cache、未収録glyph時のロード/代替表示を設計</t>
        </is>
      </c>
    </row>
    <row r="8">
      <c r="A8" t="inlineStr" s="4">
        <is>
          <t>UI</t>
        </is>
      </c>
      <c r="B8" t="inlineStr" s="4">
        <is>
          <t>VN_UI_TILE_BASE 160 / 2 tiles fill</t>
        </is>
      </c>
      <c r="C8" t="inlineStr" s="4">
        <is>
          <t>本格的な枠・名前欄・選択肢のVRAM見積もりがない</t>
        </is>
      </c>
      <c r="D8" t="inlineStr" s="4">
        <is>
          <t>UI tile pool 48 tiles程度を確保し、選択肢UIまで見積もる</t>
        </is>
      </c>
    </row>
    <row r="9">
      <c r="A9" t="inlineStr" s="4">
        <is>
          <t>Audio</t>
        </is>
      </c>
      <c r="B9" t="inlineStr" s="4">
        <is>
          <t>CD-DA 3.2 sec, ADPCM 0.14 sec</t>
        </is>
      </c>
      <c r="C9" t="inlineStr" s="4">
        <is>
          <t>音声RAM/track設計の負荷検証になっていない</t>
        </is>
      </c>
      <c r="D9" t="inlineStr" s="4">
        <is>
          <t>ADPCM 8-12秒分、CD-DA loop/cue設計を検証</t>
        </is>
      </c>
    </row>
    <row r="10">
      <c r="A10" t="inlineStr" s="4">
        <is>
          <t>Editor validation</t>
        </is>
      </c>
      <c r="B10" t="inlineStr" s="4">
        <is>
          <t>assetごとのtileCount/vramBytesはある</t>
        </is>
      </c>
      <c r="C10" t="inlineStr" s="4">
        <is>
          <t>scene全体で合算して止める/警告する仕組みがない</t>
        </is>
      </c>
      <c r="D10" t="inlineStr" s="4">
        <is>
          <t>プロジェクト作成時・asset import時・build時にscene budgetを算出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28" customWidth="1"/>
    <col min="3" max="3" width="62" customWidth="1"/>
    <col min="4" max="4" width="48" customWidth="1"/>
  </cols>
  <sheetData>
    <row r="1" ht="24" customHeight="1">
      <c r="A1" t="inlineStr" s="1">
        <is>
          <t>Design Checklist</t>
        </is>
      </c>
    </row>
    <row r="2">
      <c r="A2" t="inlineStr" s="8">
        <is>
          <t>使い方</t>
        </is>
      </c>
      <c r="B2" t="inlineStr" s="8">
        <is>
          <t>PCE Game Editor側に仕様を戻す時は、このチェックを機能要件へ変換します。</t>
        </is>
      </c>
    </row>
    <row r="3">
      <c r="A3" t="inlineStr" s="2">
        <is>
          <t>Priority</t>
        </is>
      </c>
      <c r="B3" t="inlineStr" s="2">
        <is>
          <t>Topic</t>
        </is>
      </c>
      <c r="C3" t="inlineStr" s="2">
        <is>
          <t>Decision / validation</t>
        </is>
      </c>
      <c r="D3" t="inlineStr" s="2">
        <is>
          <t>Acceptance</t>
        </is>
      </c>
    </row>
    <row r="4">
      <c r="A4" t="inlineStr" s="7">
        <is>
          <t>P0</t>
        </is>
      </c>
      <c r="B4" t="inlineStr" s="7">
        <is>
          <t>Memory map verification</t>
        </is>
      </c>
      <c r="C4" t="inlineStr" s="7">
        <is>
          <t>llvm-mos + pce-cdbでSuper CD RAMの実効空きと配置を確認</t>
        </is>
      </c>
      <c r="D4" t="inlineStr" s="7">
        <is>
          <t>link mapと実行時probeで、使用可能領域を明文化</t>
        </is>
      </c>
    </row>
    <row r="5">
      <c r="A5" t="inlineStr" s="4">
        <is>
          <t>P0</t>
        </is>
      </c>
      <c r="B5" t="inlineStr" s="4">
        <is>
          <t>VRAM budgeter</t>
        </is>
      </c>
      <c r="C5" t="inlineStr" s="4">
        <is>
          <t>scene単位でBG/UI/glyph/sprite/SATBを合算</t>
        </is>
      </c>
      <c r="D5" t="inlineStr" s="4">
        <is>
          <t>64 KiB超過はbuild前にエラー</t>
        </is>
      </c>
    </row>
    <row r="6">
      <c r="A6" t="inlineStr" s="4">
        <is>
          <t>P0</t>
        </is>
      </c>
      <c r="B6" t="inlineStr" s="4">
        <is>
          <t>Sprite scanline estimator</t>
        </is>
      </c>
      <c r="C6" t="inlineStr" s="4">
        <is>
          <t>各立ち絵slotのx/wからscanline objectsを概算</t>
        </is>
      </c>
      <c r="D6" t="inlineStr" s="4">
        <is>
          <t>16/scanline超過リスクを警告</t>
        </is>
      </c>
    </row>
    <row r="7">
      <c r="A7" t="inlineStr" s="4">
        <is>
          <t>P0</t>
        </is>
      </c>
      <c r="B7" t="inlineStr" s="4">
        <is>
          <t>Palette validator</t>
        </is>
      </c>
      <c r="C7" t="inlineStr" s="4">
        <is>
          <t>BG tile/sprite cellごとのpalette超過をテンプレートでは許容しない</t>
        </is>
      </c>
      <c r="D7" t="inlineStr" s="4">
        <is>
          <t>warningsが残るサンプルは出荷不可</t>
        </is>
      </c>
    </row>
    <row r="8">
      <c r="A8" t="inlineStr" s="4">
        <is>
          <t>P1</t>
        </is>
      </c>
      <c r="B8" t="inlineStr" s="4">
        <is>
          <t>Glyph cache strategy</t>
        </is>
      </c>
      <c r="C8" t="inlineStr" s="4">
        <is>
          <t>本文ページごとに必要glyphを抽出し、VRAM glyph cacheにロード</t>
        </is>
      </c>
      <c r="D8" t="inlineStr" s="4">
        <is>
          <t>1ページ56-64全角を安全上限</t>
        </is>
      </c>
    </row>
    <row r="9">
      <c r="A9" t="inlineStr" s="4">
        <is>
          <t>P1</t>
        </is>
      </c>
      <c r="B9" t="inlineStr" s="4">
        <is>
          <t>Scene transition loader</t>
        </is>
      </c>
      <c r="C9" t="inlineStr" s="4">
        <is>
          <t>CD -&gt; Super CD RAM -&gt; VRAM uploadを画面暗転中に行う</t>
        </is>
      </c>
      <c r="D9" t="inlineStr" s="4">
        <is>
          <t>通常会話中に重いVRAM転送をしない</t>
        </is>
      </c>
    </row>
    <row r="10">
      <c r="A10" t="inlineStr" s="4">
        <is>
          <t>P1</t>
        </is>
      </c>
      <c r="B10" t="inlineStr" s="4">
        <is>
          <t>Asset profiles</t>
        </is>
      </c>
      <c r="C10" t="inlineStr" s="4">
        <is>
          <t>VN small/standard/richの3プロファイルを用意</t>
        </is>
      </c>
      <c r="D10" t="inlineStr" s="4">
        <is>
          <t>プロジェクト作成時に見積もり条件を選べる</t>
        </is>
      </c>
    </row>
    <row r="11">
      <c r="A11" t="inlineStr" s="4">
        <is>
          <t>P2</t>
        </is>
      </c>
      <c r="B11" t="inlineStr" s="4">
        <is>
          <t>Runtime debug HUD</t>
        </is>
      </c>
      <c r="C11" t="inlineStr" s="4">
        <is>
          <t>VRAM使用量、sprite objects、glyph cache hitを表示</t>
        </is>
      </c>
      <c r="D11" t="inlineStr" s="4">
        <is>
          <t>Test Playで即見える</t>
        </is>
      </c>
    </row>
    <row r="12">
      <c r="A12" t="inlineStr" s="4">
        <is>
          <t>P2</t>
        </is>
      </c>
      <c r="B12" t="inlineStr" s="4">
        <is>
          <t>Documentation</t>
        </is>
      </c>
      <c r="C12" t="inlineStr" s="4">
        <is>
          <t>PCE/SUPER CD-ROM2制約をテンプレート説明に入れる</t>
        </is>
      </c>
      <c r="D12" t="inlineStr" s="4">
        <is>
          <t>ユーザーが素材作成前に上限を把握できる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4" customWidth="1"/>
    <col min="2" max="2" width="36" customWidth="1"/>
    <col min="3" max="3" width="54" customWidth="1"/>
    <col min="4" max="4" width="92" customWidth="1"/>
  </cols>
  <sheetData>
    <row r="1" ht="24" customHeight="1">
      <c r="A1" t="inlineStr" s="1">
        <is>
          <t>Sources / Assumptions</t>
        </is>
      </c>
    </row>
    <row r="2">
      <c r="A2" t="inlineStr" s="8">
        <is>
          <t>注</t>
        </is>
      </c>
      <c r="B2" t="inlineStr" s="8">
        <is>
          <t>Web情報は安定したハード仕様確認用です。Super CD RAMの実効可用量は最終的にツールチェーン/link map/実機またはEmulatorJSで検証してください。</t>
        </is>
      </c>
    </row>
    <row r="3">
      <c r="A3" t="inlineStr" s="2">
        <is>
          <t>Type</t>
        </is>
      </c>
      <c r="B3" t="inlineStr" s="2">
        <is>
          <t>Source</t>
        </is>
      </c>
      <c r="C3" t="inlineStr" s="2">
        <is>
          <t>Used for</t>
        </is>
      </c>
      <c r="D3" t="inlineStr" s="2">
        <is>
          <t>URL / path</t>
        </is>
      </c>
    </row>
    <row r="4">
      <c r="A4" t="inlineStr" s="4">
        <is>
          <t>Web</t>
        </is>
      </c>
      <c r="B4" t="inlineStr" s="4">
        <is>
          <t>HuDK HuC6270 VDC docs</t>
        </is>
      </c>
      <c r="C4" t="inlineStr" s="4">
        <is>
          <t>1 BG layer, 8x8 tiles, 64 sprites, 64 KiB VRAM</t>
        </is>
      </c>
      <c r="D4" t="inlineStr" s="4">
        <is>
          <t>https://blockos.github.io/HuDK/doc/files/docs/vdc-txt.html</t>
        </is>
      </c>
    </row>
    <row r="5">
      <c r="A5" t="inlineStr" s="4">
        <is>
          <t>Web</t>
        </is>
      </c>
      <c r="B5" t="inlineStr" s="4">
        <is>
          <t>PC Engine architecture analysis</t>
        </is>
      </c>
      <c r="C5" t="inlineStr" s="4">
        <is>
          <t>8 KiB RAM, MPR 8 KiB pages, 64 KiB VRAM, palettes, sprite limits</t>
        </is>
      </c>
      <c r="D5" t="inlineStr" s="4">
        <is>
          <t>https://www.copetti.org/writings/consoles/pc-engine/</t>
        </is>
      </c>
    </row>
    <row r="6">
      <c r="A6" t="inlineStr" s="4">
        <is>
          <t>Web</t>
        </is>
      </c>
      <c r="B6" t="inlineStr" s="4">
        <is>
          <t>Data Crystal VDC reference</t>
        </is>
      </c>
      <c r="C6" t="inlineStr" s="4">
        <is>
          <t>VRAM access timing / BURST mode / SATB register context</t>
        </is>
      </c>
      <c r="D6" t="inlineStr" s="4">
        <is>
          <t>https://datacrystal.tcrf.net/wiki/VDC_Programmers_Reference_%28Turbo-Grafx_16%29</t>
        </is>
      </c>
    </row>
    <row r="7">
      <c r="A7" t="inlineStr" s="4">
        <is>
          <t>Web</t>
        </is>
      </c>
      <c r="B7" t="inlineStr" s="4">
        <is>
          <t>TurboGrafx-CD / Super CD-ROM2 RAM references</t>
        </is>
      </c>
      <c r="C7" t="inlineStr" s="4">
        <is>
          <t>Super CD-ROM2 class RAM 256 KiB / System Card 3.0 memory assumption</t>
        </is>
      </c>
      <c r="D7" t="inlineStr" s="4">
        <is>
          <t>https://en.wikipedia.org/wiki/TurboGrafx-16</t>
        </is>
      </c>
    </row>
    <row r="8">
      <c r="A8" t="inlineStr" s="4">
        <is>
          <t>Local</t>
        </is>
      </c>
      <c r="B8" t="inlineStr" s="4">
        <is>
          <t>pce-game-editor/pce-asset-manager.js</t>
        </is>
      </c>
      <c r="C8" t="inlineStr" s="4">
        <is>
          <t>Existing converter uses 32 bytes per BG tile and 128 bytes per sprite pattern</t>
        </is>
      </c>
      <c r="D8" t="inlineStr" s="4">
        <is>
          <t>/Users/hossie/development/md_emulator/pce-game-editor/pce-asset-manager.js</t>
        </is>
      </c>
    </row>
    <row r="9">
      <c r="A9" t="inlineStr" s="4">
        <is>
          <t>Local</t>
        </is>
      </c>
      <c r="B9" t="inlineStr" s="4">
        <is>
          <t>pce-game-editor/plugins/pce-sample-builder/template-vn/src/main.c</t>
        </is>
      </c>
      <c r="C9" t="inlineStr" s="4">
        <is>
          <t>Current VN runtime VRAM bases and SATB address</t>
        </is>
      </c>
      <c r="D9" t="inlineStr" s="4">
        <is>
          <t>/Users/hossie/development/md_emulator/pce-game-editor/plugins/pce-sample-builder/template-vn/src/main.c</t>
        </is>
      </c>
    </row>
    <row r="10">
      <c r="A10" t="inlineStr" s="4">
        <is>
          <t>Local</t>
        </is>
      </c>
      <c r="B10" t="inlineStr" s="4">
        <is>
          <t>pce-game-editor/template/template_pce_vn_cd/assets/pce-assets.json</t>
        </is>
      </c>
      <c r="C10" t="inlineStr" s="4">
        <is>
          <t>Current sample asset sizes and warnings</t>
        </is>
      </c>
      <c r="D10" t="inlineStr" s="4">
        <is>
          <t>/Users/hossie/development/md_emulator/pce-game-editor/template/template_pce_vn_cd/assets/pce-assets.json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PCE SUPER CD-ROM2 Memory Layout Planning</dc:title>
  <dc:creator>Codex</dc:creator>
  <cp:lastModifiedBy>Codex</cp:lastModifiedBy>
</cp:coreProperties>
</file>